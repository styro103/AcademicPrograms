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 firstSheet="3" activeTab="5"/>
  </bookViews>
  <sheets>
    <sheet name="btnNCSubmit" sheetId="8" r:id="rId1"/>
    <sheet name="btnNESubmit" sheetId="9" r:id="rId2"/>
    <sheet name="btnNJSubmit" sheetId="10" r:id="rId3"/>
    <sheet name="Complexities" sheetId="11" r:id="rId4"/>
    <sheet name="Statement btnNCSubmit" sheetId="5" r:id="rId5"/>
    <sheet name="Branch btnNESubmit" sheetId="6" r:id="rId6"/>
    <sheet name="DD btnNJSubmit" sheetId="7" r:id="rId7"/>
    <sheet name="Metrics for Buttons" sheetId="4" r:id="rId8"/>
  </sheets>
  <calcPr calcId="145621"/>
</workbook>
</file>

<file path=xl/calcChain.xml><?xml version="1.0" encoding="utf-8"?>
<calcChain xmlns="http://schemas.openxmlformats.org/spreadsheetml/2006/main">
  <c r="E4" i="11" l="1"/>
  <c r="E3" i="11"/>
  <c r="E2" i="11"/>
  <c r="G4" i="4" l="1"/>
  <c r="F4" i="4"/>
  <c r="E4" i="4"/>
  <c r="G3" i="4"/>
  <c r="F3" i="4"/>
  <c r="E3" i="4"/>
  <c r="G2" i="4"/>
  <c r="F2" i="4"/>
  <c r="E2" i="4"/>
</calcChain>
</file>

<file path=xl/sharedStrings.xml><?xml version="1.0" encoding="utf-8"?>
<sst xmlns="http://schemas.openxmlformats.org/spreadsheetml/2006/main" count="215" uniqueCount="140">
  <si>
    <t>Button</t>
  </si>
  <si>
    <t>m</t>
  </si>
  <si>
    <t>n</t>
  </si>
  <si>
    <t>s</t>
  </si>
  <si>
    <t>C(M,S) = n/s</t>
  </si>
  <si>
    <t>R(M,S) = m/s</t>
  </si>
  <si>
    <t>NR(M,S) = m/n</t>
  </si>
  <si>
    <t>NCSubmit</t>
  </si>
  <si>
    <t>NESubmit</t>
  </si>
  <si>
    <t>NJSubmit</t>
  </si>
  <si>
    <t>Case #</t>
  </si>
  <si>
    <t>Name</t>
  </si>
  <si>
    <t>Address</t>
  </si>
  <si>
    <t>Phone</t>
  </si>
  <si>
    <t>Email</t>
  </si>
  <si>
    <t>SM</t>
  </si>
  <si>
    <t>S = Statement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</si>
  <si>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</si>
  <si>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</si>
  <si>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</si>
  <si>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</si>
  <si>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</si>
  <si>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</si>
  <si>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</si>
  <si>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</si>
  <si>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</si>
  <si>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</si>
  <si>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Comments</t>
  </si>
  <si>
    <t>Full Coverage</t>
  </si>
  <si>
    <t>Home No.</t>
  </si>
  <si>
    <t>Mobile No.</t>
  </si>
  <si>
    <t>Emergency Name</t>
  </si>
  <si>
    <t>Emergency Phone</t>
  </si>
  <si>
    <t>Job Position</t>
  </si>
  <si>
    <t>Pay</t>
  </si>
  <si>
    <t>Branch 1</t>
  </si>
  <si>
    <t>Branch 2</t>
  </si>
  <si>
    <t>Branch 3</t>
  </si>
  <si>
    <t>Branch 4</t>
  </si>
  <si>
    <t>Hourly</t>
  </si>
  <si>
    <t>T</t>
  </si>
  <si>
    <t>F</t>
  </si>
  <si>
    <t>25% Coverage</t>
  </si>
  <si>
    <t>Commission</t>
  </si>
  <si>
    <t>Salary</t>
  </si>
  <si>
    <t>Client</t>
  </si>
  <si>
    <t>Location</t>
  </si>
  <si>
    <t>Start</t>
  </si>
  <si>
    <t>Deadline</t>
  </si>
  <si>
    <t>Description</t>
  </si>
  <si>
    <t>Lead</t>
  </si>
  <si>
    <t>Employee 1</t>
  </si>
  <si>
    <t>Employee 2</t>
  </si>
  <si>
    <t>Employee 3</t>
  </si>
  <si>
    <t>Lead Title</t>
  </si>
  <si>
    <t>Title 1</t>
  </si>
  <si>
    <t>Title 2</t>
  </si>
  <si>
    <t>Title 3</t>
  </si>
  <si>
    <t>DD-1</t>
  </si>
  <si>
    <t>DD-2</t>
  </si>
  <si>
    <t>DD-3</t>
  </si>
  <si>
    <t>DD-4</t>
  </si>
  <si>
    <t>DD-5</t>
  </si>
  <si>
    <t>DD-6</t>
  </si>
  <si>
    <t>DD-7</t>
  </si>
  <si>
    <t xml:space="preserve"> Dim infoCorrect As Boolean</t>
  </si>
  <si>
    <t xml:space="preserve">        'DD-1</t>
  </si>
  <si>
    <t xml:space="preserve">        infoCorrect = checkInfo()</t>
  </si>
  <si>
    <t xml:space="preserve">        If infoCorrect = True Then</t>
  </si>
  <si>
    <t xml:space="preserve">            'DD-2</t>
  </si>
  <si>
    <t xml:space="preserve">            customerList.addCustomer(txtNCName.Text, txtNCAddress.Text, txtNCPhone.Text, txtNCEmail.Text)</t>
  </si>
  <si>
    <t xml:space="preserve">            'insert into listboxes</t>
  </si>
  <si>
    <t xml:space="preserve">            'DD-3</t>
  </si>
  <si>
    <t xml:space="preserve">            customerList.viewCustomerName(CustomerListForm.lstName)</t>
  </si>
  <si>
    <t xml:space="preserve">            'DD-4</t>
  </si>
  <si>
    <t xml:space="preserve">            customerList.viewCustomerAddress(CustomerListForm.lstAddress)</t>
  </si>
  <si>
    <t xml:space="preserve">            'DD-5</t>
  </si>
  <si>
    <t xml:space="preserve">            customerList.viewCustomerPhone(CustomerListForm.lstPhone)</t>
  </si>
  <si>
    <t xml:space="preserve">            'DD-6</t>
  </si>
  <si>
    <t xml:space="preserve">            customerList.viewCustomerEmail(CustomerListForm.lstEmail)</t>
  </si>
  <si>
    <t xml:space="preserve">            'DD-7</t>
  </si>
  <si>
    <t xml:space="preserve">            Me.Close()</t>
  </si>
  <si>
    <t xml:space="preserve">        End If</t>
  </si>
  <si>
    <t xml:space="preserve">            'DD-8</t>
  </si>
  <si>
    <t xml:space="preserve">        'This test does not work for checking if any of the wage txtboxes are empty or not</t>
  </si>
  <si>
    <t xml:space="preserve">        'we also need to calculate commission, as it's using two data fields</t>
  </si>
  <si>
    <t xml:space="preserve">        If txtNEAddress.Text = "" Or txtNEName.Text = "" Or txtNEEmail.Text = "" Or txtNEHome.Text = "" Or txtNEMobile.Text = "" Or txtNEMobile.Text = "" Or txtNENameEM.Text = "" Or txtNEPhone.Text = "" Or txtNEPosition.Text = "" Then</t>
  </si>
  <si>
    <t xml:space="preserve">        'DD-3</t>
  </si>
  <si>
    <t xml:space="preserve">            MessageBox.Show("Fill in all fields please", "Missing Information", MessageBoxButtons.OK, MessageBoxIcon.Error)</t>
  </si>
  <si>
    <t xml:space="preserve">        Else</t>
  </si>
  <si>
    <t xml:space="preserve">        'DD-2</t>
  </si>
  <si>
    <t xml:space="preserve">            If radNEHourly.Checked = True Then</t>
  </si>
  <si>
    <t xml:space="preserve">                'DD-4</t>
  </si>
  <si>
    <t xml:space="preserve">                employeeList.addEmployee(txtNEName.Text, txtNEAddress.Text, txtNEHome.Text, txtNEMobile.Text, txtNEEmail.Text, txtNENameEM.Text,</t>
  </si>
  <si>
    <t xml:space="preserve">                                     txtNEPhone.Text, txtNEPosition.Text, "Hourly", txtNEHourly.Text)</t>
  </si>
  <si>
    <t xml:space="preserve">            ElseIf radNECommission.Checked = True Then</t>
  </si>
  <si>
    <t xml:space="preserve">                'DD-5</t>
  </si>
  <si>
    <t xml:space="preserve">                                    txtNEPhone.Text, txtNEPosition.Text, "Commission", txtNECommWages.Text)</t>
  </si>
  <si>
    <t xml:space="preserve">            ElseIf radNESalary.Checked = True Then</t>
  </si>
  <si>
    <t xml:space="preserve">                'DD-6</t>
  </si>
  <si>
    <t xml:space="preserve">                                    txtNEPhone.Text, txtNEPosition.Text, "Salary", txtNESalary.Text)</t>
  </si>
  <si>
    <t xml:space="preserve">            End If</t>
  </si>
  <si>
    <t xml:space="preserve">            employeeList.viewEmployeeName(EmployeeListForm.lstName)</t>
  </si>
  <si>
    <t xml:space="preserve">            employeeList.viewEmployeecellPhone(EmployeeListForm.lstPhone)</t>
  </si>
  <si>
    <t xml:space="preserve">            'DD-9</t>
  </si>
  <si>
    <t xml:space="preserve">            employeeList.viewEmployeeposition(EmployeeListForm.lstPosition)</t>
  </si>
  <si>
    <t xml:space="preserve">            'DD-10</t>
  </si>
  <si>
    <t xml:space="preserve">            employeeList.viewEmployeewages(EmployeeListForm.lstWages)</t>
  </si>
  <si>
    <t xml:space="preserve">            'code for saving stuff here</t>
  </si>
  <si>
    <t xml:space="preserve">            'DD-11</t>
  </si>
  <si>
    <t xml:space="preserve">        'DD-12</t>
  </si>
  <si>
    <t xml:space="preserve">        jobList.addJob(txtNJName.Text, txtNJClient.Text, txtNJLocation.Text, txtNJStart.Text, txtNJDeadline.Text, txtNJDescription.Text,</t>
  </si>
  <si>
    <t xml:space="preserve">                       txtNJLead.Text, txtNJEmployee1.Text, txtNJEmployee2.Text, txtNJEmployee3.Text, txtNJLeadTitle.Text, txtNJTitle1.Text,</t>
  </si>
  <si>
    <t xml:space="preserve">                       txtNJTitle2.Text, txtNJTitle3.Text)</t>
  </si>
  <si>
    <t xml:space="preserve">        'insert into listboxes</t>
  </si>
  <si>
    <t xml:space="preserve">        'These will be added to the pending jobs because a new job will never be a completed job - Eric</t>
  </si>
  <si>
    <t xml:space="preserve">        jobList.viewProjectName(JobListForm.lstPendingName)</t>
  </si>
  <si>
    <t xml:space="preserve">        jobList.viewClient(JobListForm.lstPendingClient)</t>
  </si>
  <si>
    <t xml:space="preserve">        'DD-4</t>
  </si>
  <si>
    <t xml:space="preserve">        jobList.viewStartDate(JobListForm.lstPendingStart)</t>
  </si>
  <si>
    <t xml:space="preserve">        'DD-5</t>
  </si>
  <si>
    <t xml:space="preserve">        jobList.viewDeadline(JobListForm.lstPendingDeadline)</t>
  </si>
  <si>
    <t xml:space="preserve">        'DD-6</t>
  </si>
  <si>
    <t xml:space="preserve">        JobListForm.lstPendingStatus.Items.Add("Not Completed") 'Automatically put "not completed" in the pending status - Eric</t>
  </si>
  <si>
    <t xml:space="preserve">        'DD-7</t>
  </si>
  <si>
    <t xml:space="preserve">        Me.Close()</t>
  </si>
  <si>
    <t>Graph</t>
  </si>
  <si>
    <t>e</t>
  </si>
  <si>
    <t>p</t>
  </si>
  <si>
    <t>V(G)</t>
  </si>
  <si>
    <t>E(G)</t>
  </si>
  <si>
    <t>btnNCSubmit</t>
  </si>
  <si>
    <r>
      <t xml:space="preserve">V(G) = E(G) 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10</t>
    </r>
  </si>
  <si>
    <t>btnNESubmit</t>
  </si>
  <si>
    <t>Structured</t>
  </si>
  <si>
    <t>btnNJSubmit</t>
  </si>
  <si>
    <r>
      <t xml:space="preserve">V(G) = E(G)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10</t>
    </r>
  </si>
  <si>
    <t>NJSubmit E(G)</t>
  </si>
  <si>
    <t>NCSubmit E(G)</t>
  </si>
  <si>
    <t>NESubmit E(G)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</si>
</sst>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0</xdr:row>
          <xdr:rowOff>161925</xdr:rowOff>
        </xdr:from>
        <xdr:to>
          <xdr:col>15</xdr:col>
          <xdr:colOff>466725</xdr:colOff>
          <xdr:row>39</xdr:row>
          <xdr:rowOff>85725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4</xdr:row>
          <xdr:rowOff>171450</xdr:rowOff>
        </xdr:from>
        <xdr:to>
          <xdr:col>24</xdr:col>
          <xdr:colOff>323850</xdr:colOff>
          <xdr:row>49</xdr:row>
          <xdr:rowOff>152400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</xdr:row>
          <xdr:rowOff>57150</xdr:rowOff>
        </xdr:from>
        <xdr:to>
          <xdr:col>15</xdr:col>
          <xdr:colOff>495300</xdr:colOff>
          <xdr:row>42</xdr:row>
          <xdr:rowOff>123825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10</xdr:row>
          <xdr:rowOff>85725</xdr:rowOff>
        </xdr:from>
        <xdr:to>
          <xdr:col>5</xdr:col>
          <xdr:colOff>600075</xdr:colOff>
          <xdr:row>22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104775</xdr:rowOff>
        </xdr:from>
        <xdr:to>
          <xdr:col>3</xdr:col>
          <xdr:colOff>276225</xdr:colOff>
          <xdr:row>23</xdr:row>
          <xdr:rowOff>152400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6</xdr:row>
          <xdr:rowOff>57150</xdr:rowOff>
        </xdr:from>
        <xdr:to>
          <xdr:col>9</xdr:col>
          <xdr:colOff>514350</xdr:colOff>
          <xdr:row>46</xdr:row>
          <xdr:rowOff>123825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</xdr:row>
          <xdr:rowOff>47625</xdr:rowOff>
        </xdr:from>
        <xdr:to>
          <xdr:col>10</xdr:col>
          <xdr:colOff>190500</xdr:colOff>
          <xdr:row>4</xdr:row>
          <xdr:rowOff>9525</xdr:rowOff>
        </xdr:to>
        <xdr:sp macro="" textlink="">
          <xdr:nvSpPr>
            <xdr:cNvPr id="4097" name="btnRu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2</xdr:row>
          <xdr:rowOff>57150</xdr:rowOff>
        </xdr:from>
        <xdr:to>
          <xdr:col>11</xdr:col>
          <xdr:colOff>781050</xdr:colOff>
          <xdr:row>4</xdr:row>
          <xdr:rowOff>19050</xdr:rowOff>
        </xdr:to>
        <xdr:sp macro="" textlink="">
          <xdr:nvSpPr>
            <xdr:cNvPr id="4098" name="btnClea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9</xdr:row>
          <xdr:rowOff>85725</xdr:rowOff>
        </xdr:from>
        <xdr:to>
          <xdr:col>3</xdr:col>
          <xdr:colOff>95250</xdr:colOff>
          <xdr:row>11</xdr:row>
          <xdr:rowOff>47625</xdr:rowOff>
        </xdr:to>
        <xdr:sp macro="" textlink="">
          <xdr:nvSpPr>
            <xdr:cNvPr id="5121" name="btnRu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9</xdr:row>
          <xdr:rowOff>95250</xdr:rowOff>
        </xdr:from>
        <xdr:to>
          <xdr:col>5</xdr:col>
          <xdr:colOff>447675</xdr:colOff>
          <xdr:row>11</xdr:row>
          <xdr:rowOff>57150</xdr:rowOff>
        </xdr:to>
        <xdr:sp macro="" textlink="">
          <xdr:nvSpPr>
            <xdr:cNvPr id="5122" name="btnClea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3</xdr:row>
          <xdr:rowOff>114300</xdr:rowOff>
        </xdr:from>
        <xdr:to>
          <xdr:col>11</xdr:col>
          <xdr:colOff>133350</xdr:colOff>
          <xdr:row>5</xdr:row>
          <xdr:rowOff>76200</xdr:rowOff>
        </xdr:to>
        <xdr:sp macro="" textlink="">
          <xdr:nvSpPr>
            <xdr:cNvPr id="6145" name="btn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7</xdr:row>
          <xdr:rowOff>66675</xdr:rowOff>
        </xdr:from>
        <xdr:to>
          <xdr:col>11</xdr:col>
          <xdr:colOff>133350</xdr:colOff>
          <xdr:row>9</xdr:row>
          <xdr:rowOff>28575</xdr:rowOff>
        </xdr:to>
        <xdr:sp macro="" textlink="">
          <xdr:nvSpPr>
            <xdr:cNvPr id="6146" name="btnClear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oleObject" Target="../embeddings/oleObject4.bin"/><Relationship Id="rId7" Type="http://schemas.openxmlformats.org/officeDocument/2006/relationships/oleObject" Target="../embeddings/oleObject6.bin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oleObject" Target="../embeddings/oleObject5.bin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7.emf"/><Relationship Id="rId5" Type="http://schemas.openxmlformats.org/officeDocument/2006/relationships/control" Target="../activeX/activeX2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9.emf"/><Relationship Id="rId5" Type="http://schemas.openxmlformats.org/officeDocument/2006/relationships/control" Target="../activeX/activeX4.xml"/><Relationship Id="rId4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1.emf"/><Relationship Id="rId5" Type="http://schemas.openxmlformats.org/officeDocument/2006/relationships/control" Target="../activeX/activeX6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20"/>
  <sheetViews>
    <sheetView zoomScale="82" zoomScaleNormal="82" workbookViewId="0">
      <selection activeCell="E45" sqref="E45"/>
    </sheetView>
  </sheetViews>
  <sheetFormatPr defaultRowHeight="15" x14ac:dyDescent="0.25"/>
  <sheetData>
    <row r="1" spans="1:1" x14ac:dyDescent="0.25">
      <c r="A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  <row r="5" spans="1:1" x14ac:dyDescent="0.25">
      <c r="A5" t="s">
        <v>68</v>
      </c>
    </row>
    <row r="6" spans="1:1" x14ac:dyDescent="0.25">
      <c r="A6" t="s">
        <v>69</v>
      </c>
    </row>
    <row r="7" spans="1:1" x14ac:dyDescent="0.25">
      <c r="A7" t="s">
        <v>70</v>
      </c>
    </row>
    <row r="8" spans="1:1" x14ac:dyDescent="0.25">
      <c r="A8" t="s">
        <v>71</v>
      </c>
    </row>
    <row r="9" spans="1:1" x14ac:dyDescent="0.25">
      <c r="A9" t="s">
        <v>72</v>
      </c>
    </row>
    <row r="10" spans="1:1" x14ac:dyDescent="0.25">
      <c r="A10" t="s">
        <v>73</v>
      </c>
    </row>
    <row r="11" spans="1:1" x14ac:dyDescent="0.25">
      <c r="A11" t="s">
        <v>74</v>
      </c>
    </row>
    <row r="12" spans="1:1" x14ac:dyDescent="0.25">
      <c r="A12" t="s">
        <v>75</v>
      </c>
    </row>
    <row r="13" spans="1:1" x14ac:dyDescent="0.25">
      <c r="A13" t="s">
        <v>76</v>
      </c>
    </row>
    <row r="14" spans="1:1" x14ac:dyDescent="0.25">
      <c r="A14" t="s">
        <v>77</v>
      </c>
    </row>
    <row r="15" spans="1:1" x14ac:dyDescent="0.25">
      <c r="A15" t="s">
        <v>78</v>
      </c>
    </row>
    <row r="16" spans="1:1" x14ac:dyDescent="0.25">
      <c r="A16" t="s">
        <v>79</v>
      </c>
    </row>
    <row r="17" spans="1:1" x14ac:dyDescent="0.25">
      <c r="A17" t="s">
        <v>80</v>
      </c>
    </row>
    <row r="18" spans="1:1" x14ac:dyDescent="0.25">
      <c r="A18" t="s">
        <v>81</v>
      </c>
    </row>
    <row r="19" spans="1:1" x14ac:dyDescent="0.25">
      <c r="A19" t="s">
        <v>82</v>
      </c>
    </row>
    <row r="20" spans="1:1" x14ac:dyDescent="0.25">
      <c r="A20" t="s">
        <v>83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1" shapeId="7169" r:id="rId3">
          <objectPr defaultSize="0" r:id="rId4">
            <anchor moveWithCells="1">
              <from>
                <xdr:col>11</xdr:col>
                <xdr:colOff>361950</xdr:colOff>
                <xdr:row>0</xdr:row>
                <xdr:rowOff>161925</xdr:rowOff>
              </from>
              <to>
                <xdr:col>15</xdr:col>
                <xdr:colOff>466725</xdr:colOff>
                <xdr:row>39</xdr:row>
                <xdr:rowOff>85725</xdr:rowOff>
              </to>
            </anchor>
          </objectPr>
        </oleObject>
      </mc:Choice>
      <mc:Fallback>
        <oleObject progId="Visio.Drawing.11" shapeId="7169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35"/>
  <sheetViews>
    <sheetView topLeftCell="A4" zoomScale="77" zoomScaleNormal="77" workbookViewId="0">
      <selection activeCell="E45" sqref="E45"/>
    </sheetView>
  </sheetViews>
  <sheetFormatPr defaultRowHeight="15" x14ac:dyDescent="0.25"/>
  <sheetData>
    <row r="1" spans="1:1" x14ac:dyDescent="0.25">
      <c r="A1" t="s">
        <v>84</v>
      </c>
    </row>
    <row r="2" spans="1:1" x14ac:dyDescent="0.25">
      <c r="A2" t="s">
        <v>85</v>
      </c>
    </row>
    <row r="3" spans="1:1" x14ac:dyDescent="0.25">
      <c r="A3" t="s">
        <v>66</v>
      </c>
    </row>
    <row r="4" spans="1:1" x14ac:dyDescent="0.25">
      <c r="A4" t="s">
        <v>86</v>
      </c>
    </row>
    <row r="5" spans="1:1" x14ac:dyDescent="0.25">
      <c r="A5" t="s">
        <v>87</v>
      </c>
    </row>
    <row r="6" spans="1:1" x14ac:dyDescent="0.25">
      <c r="A6" t="s">
        <v>88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91</v>
      </c>
    </row>
    <row r="10" spans="1:1" x14ac:dyDescent="0.25">
      <c r="A10" t="s">
        <v>92</v>
      </c>
    </row>
    <row r="11" spans="1:1" x14ac:dyDescent="0.25">
      <c r="A11" t="s">
        <v>93</v>
      </c>
    </row>
    <row r="12" spans="1:1" x14ac:dyDescent="0.25">
      <c r="A12" t="s">
        <v>94</v>
      </c>
    </row>
    <row r="13" spans="1:1" x14ac:dyDescent="0.25">
      <c r="A13" t="s">
        <v>95</v>
      </c>
    </row>
    <row r="14" spans="1:1" x14ac:dyDescent="0.25">
      <c r="A14" t="s">
        <v>96</v>
      </c>
    </row>
    <row r="15" spans="1:1" x14ac:dyDescent="0.25">
      <c r="A15" t="s">
        <v>93</v>
      </c>
    </row>
    <row r="16" spans="1:1" x14ac:dyDescent="0.25">
      <c r="A16" t="s">
        <v>97</v>
      </c>
    </row>
    <row r="17" spans="1:1" x14ac:dyDescent="0.25">
      <c r="A17" t="s">
        <v>98</v>
      </c>
    </row>
    <row r="18" spans="1:1" x14ac:dyDescent="0.25">
      <c r="A18" t="s">
        <v>99</v>
      </c>
    </row>
    <row r="19" spans="1:1" x14ac:dyDescent="0.25">
      <c r="A19" t="s">
        <v>93</v>
      </c>
    </row>
    <row r="20" spans="1:1" x14ac:dyDescent="0.25">
      <c r="A20" t="s">
        <v>100</v>
      </c>
    </row>
    <row r="21" spans="1:1" x14ac:dyDescent="0.25">
      <c r="A21" t="s">
        <v>101</v>
      </c>
    </row>
    <row r="22" spans="1:1" x14ac:dyDescent="0.25">
      <c r="A22" t="s">
        <v>80</v>
      </c>
    </row>
    <row r="23" spans="1:1" x14ac:dyDescent="0.25">
      <c r="A23" t="s">
        <v>102</v>
      </c>
    </row>
    <row r="24" spans="1:1" x14ac:dyDescent="0.25">
      <c r="A24" t="s">
        <v>83</v>
      </c>
    </row>
    <row r="25" spans="1:1" x14ac:dyDescent="0.25">
      <c r="A25" t="s">
        <v>103</v>
      </c>
    </row>
    <row r="26" spans="1:1" x14ac:dyDescent="0.25">
      <c r="A26" t="s">
        <v>104</v>
      </c>
    </row>
    <row r="27" spans="1:1" x14ac:dyDescent="0.25">
      <c r="A27" t="s">
        <v>105</v>
      </c>
    </row>
    <row r="28" spans="1:1" x14ac:dyDescent="0.25">
      <c r="A28" t="s">
        <v>106</v>
      </c>
    </row>
    <row r="29" spans="1:1" x14ac:dyDescent="0.25">
      <c r="A29" t="s">
        <v>107</v>
      </c>
    </row>
    <row r="31" spans="1:1" x14ac:dyDescent="0.25">
      <c r="A31" t="s">
        <v>108</v>
      </c>
    </row>
    <row r="32" spans="1:1" x14ac:dyDescent="0.25">
      <c r="A32" t="s">
        <v>109</v>
      </c>
    </row>
    <row r="33" spans="1:1" x14ac:dyDescent="0.25">
      <c r="A33" t="s">
        <v>81</v>
      </c>
    </row>
    <row r="34" spans="1:1" x14ac:dyDescent="0.25">
      <c r="A34" t="s">
        <v>82</v>
      </c>
    </row>
    <row r="35" spans="1:1" x14ac:dyDescent="0.25">
      <c r="A35" t="s">
        <v>110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1" shapeId="8193" r:id="rId3">
          <objectPr defaultSize="0" r:id="rId4">
            <anchor moveWithCells="1">
              <from>
                <xdr:col>15</xdr:col>
                <xdr:colOff>180975</xdr:colOff>
                <xdr:row>4</xdr:row>
                <xdr:rowOff>171450</xdr:rowOff>
              </from>
              <to>
                <xdr:col>24</xdr:col>
                <xdr:colOff>323850</xdr:colOff>
                <xdr:row>49</xdr:row>
                <xdr:rowOff>152400</xdr:rowOff>
              </to>
            </anchor>
          </objectPr>
        </oleObject>
      </mc:Choice>
      <mc:Fallback>
        <oleObject progId="Visio.Drawing.11" shapeId="8193" r:id="rId3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20"/>
  <sheetViews>
    <sheetView zoomScale="87" zoomScaleNormal="87" workbookViewId="0">
      <selection activeCell="E35" sqref="E35"/>
    </sheetView>
  </sheetViews>
  <sheetFormatPr defaultRowHeight="15" x14ac:dyDescent="0.25"/>
  <sheetData>
    <row r="1" spans="1:1" x14ac:dyDescent="0.25">
      <c r="A1" s="25" t="s">
        <v>66</v>
      </c>
    </row>
    <row r="2" spans="1:1" x14ac:dyDescent="0.25">
      <c r="A2" t="s">
        <v>111</v>
      </c>
    </row>
    <row r="3" spans="1:1" x14ac:dyDescent="0.25">
      <c r="A3" t="s">
        <v>112</v>
      </c>
    </row>
    <row r="4" spans="1:1" x14ac:dyDescent="0.25">
      <c r="A4" t="s">
        <v>113</v>
      </c>
    </row>
    <row r="6" spans="1:1" x14ac:dyDescent="0.25">
      <c r="A6" t="s">
        <v>114</v>
      </c>
    </row>
    <row r="7" spans="1:1" x14ac:dyDescent="0.25">
      <c r="A7" t="s">
        <v>115</v>
      </c>
    </row>
    <row r="8" spans="1:1" x14ac:dyDescent="0.25">
      <c r="A8" t="s">
        <v>90</v>
      </c>
    </row>
    <row r="9" spans="1:1" x14ac:dyDescent="0.25">
      <c r="A9" t="s">
        <v>116</v>
      </c>
    </row>
    <row r="10" spans="1:1" x14ac:dyDescent="0.25">
      <c r="A10" t="s">
        <v>87</v>
      </c>
    </row>
    <row r="11" spans="1:1" x14ac:dyDescent="0.25">
      <c r="A11" t="s">
        <v>117</v>
      </c>
    </row>
    <row r="12" spans="1:1" x14ac:dyDescent="0.25">
      <c r="A12" t="s">
        <v>118</v>
      </c>
    </row>
    <row r="13" spans="1:1" x14ac:dyDescent="0.25">
      <c r="A13" t="s">
        <v>119</v>
      </c>
    </row>
    <row r="14" spans="1:1" x14ac:dyDescent="0.25">
      <c r="A14" t="s">
        <v>120</v>
      </c>
    </row>
    <row r="15" spans="1:1" x14ac:dyDescent="0.25">
      <c r="A15" t="s">
        <v>121</v>
      </c>
    </row>
    <row r="16" spans="1:1" x14ac:dyDescent="0.25">
      <c r="A16" t="s">
        <v>122</v>
      </c>
    </row>
    <row r="17" spans="1:1" x14ac:dyDescent="0.25">
      <c r="A17" t="s">
        <v>123</v>
      </c>
    </row>
    <row r="19" spans="1:1" x14ac:dyDescent="0.25">
      <c r="A19" t="s">
        <v>124</v>
      </c>
    </row>
    <row r="20" spans="1:1" x14ac:dyDescent="0.25">
      <c r="A20" t="s">
        <v>125</v>
      </c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1" shapeId="9217" r:id="rId3">
          <objectPr defaultSize="0" r:id="rId4">
            <anchor moveWithCells="1">
              <from>
                <xdr:col>14</xdr:col>
                <xdr:colOff>161925</xdr:colOff>
                <xdr:row>2</xdr:row>
                <xdr:rowOff>57150</xdr:rowOff>
              </from>
              <to>
                <xdr:col>15</xdr:col>
                <xdr:colOff>495300</xdr:colOff>
                <xdr:row>42</xdr:row>
                <xdr:rowOff>123825</xdr:rowOff>
              </to>
            </anchor>
          </objectPr>
        </oleObject>
      </mc:Choice>
      <mc:Fallback>
        <oleObject progId="Visio.Drawing.11" shapeId="9217" r:id="rId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9"/>
  <sheetViews>
    <sheetView zoomScale="81" zoomScaleNormal="81" workbookViewId="0">
      <selection activeCell="E45" sqref="E45"/>
    </sheetView>
  </sheetViews>
  <sheetFormatPr defaultRowHeight="15" x14ac:dyDescent="0.25"/>
  <cols>
    <col min="1" max="1" width="18" customWidth="1"/>
    <col min="4" max="4" width="11" customWidth="1"/>
    <col min="5" max="5" width="9" customWidth="1"/>
    <col min="6" max="6" width="10" customWidth="1"/>
    <col min="7" max="7" width="17.28515625" customWidth="1"/>
  </cols>
  <sheetData>
    <row r="1" spans="1:10" x14ac:dyDescent="0.25">
      <c r="A1" s="1" t="s">
        <v>126</v>
      </c>
      <c r="B1" s="3" t="s">
        <v>127</v>
      </c>
      <c r="C1" s="3" t="s">
        <v>2</v>
      </c>
      <c r="D1" s="3" t="s">
        <v>128</v>
      </c>
      <c r="E1" s="3" t="s">
        <v>129</v>
      </c>
      <c r="F1" s="3" t="s">
        <v>130</v>
      </c>
      <c r="G1" s="4" t="s">
        <v>27</v>
      </c>
    </row>
    <row r="2" spans="1:10" x14ac:dyDescent="0.25">
      <c r="A2" s="6" t="s">
        <v>131</v>
      </c>
      <c r="B2" s="14">
        <v>8</v>
      </c>
      <c r="C2" s="14">
        <v>8</v>
      </c>
      <c r="D2" s="14">
        <v>1</v>
      </c>
      <c r="E2" s="14">
        <f>B2-C2+2*D2</f>
        <v>2</v>
      </c>
      <c r="F2" s="14">
        <v>2</v>
      </c>
      <c r="G2" s="15" t="s">
        <v>132</v>
      </c>
    </row>
    <row r="3" spans="1:10" x14ac:dyDescent="0.25">
      <c r="A3" s="12" t="s">
        <v>133</v>
      </c>
      <c r="B3" s="14">
        <v>14</v>
      </c>
      <c r="C3" s="14">
        <v>12</v>
      </c>
      <c r="D3" s="14">
        <v>1</v>
      </c>
      <c r="E3" s="14">
        <f t="shared" ref="E3:E4" si="0">B3-C3+2*D3</f>
        <v>4</v>
      </c>
      <c r="F3" s="14">
        <v>1</v>
      </c>
      <c r="G3" s="15" t="s">
        <v>134</v>
      </c>
    </row>
    <row r="4" spans="1:10" x14ac:dyDescent="0.25">
      <c r="A4" s="18" t="s">
        <v>135</v>
      </c>
      <c r="B4" s="20">
        <v>7</v>
      </c>
      <c r="C4" s="20">
        <v>6</v>
      </c>
      <c r="D4" s="20">
        <v>1</v>
      </c>
      <c r="E4" s="20">
        <f t="shared" si="0"/>
        <v>3</v>
      </c>
      <c r="F4" s="20">
        <v>3</v>
      </c>
      <c r="G4" s="21" t="s">
        <v>136</v>
      </c>
    </row>
    <row r="6" spans="1:10" x14ac:dyDescent="0.25">
      <c r="I6" s="26" t="s">
        <v>137</v>
      </c>
      <c r="J6" s="26"/>
    </row>
    <row r="8" spans="1:10" x14ac:dyDescent="0.25">
      <c r="A8" s="26" t="s">
        <v>138</v>
      </c>
      <c r="B8" s="26"/>
      <c r="C8" s="26"/>
    </row>
    <row r="9" spans="1:10" x14ac:dyDescent="0.25">
      <c r="E9" s="26" t="s">
        <v>139</v>
      </c>
      <c r="F9" s="26"/>
    </row>
  </sheetData>
  <mergeCells count="3">
    <mergeCell ref="I6:J6"/>
    <mergeCell ref="A8:C8"/>
    <mergeCell ref="E9:F9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1" shapeId="10241" r:id="rId3">
          <objectPr defaultSize="0" r:id="rId4">
            <anchor moveWithCells="1">
              <from>
                <xdr:col>4</xdr:col>
                <xdr:colOff>247650</xdr:colOff>
                <xdr:row>10</xdr:row>
                <xdr:rowOff>85725</xdr:rowOff>
              </from>
              <to>
                <xdr:col>5</xdr:col>
                <xdr:colOff>600075</xdr:colOff>
                <xdr:row>22</xdr:row>
                <xdr:rowOff>0</xdr:rowOff>
              </to>
            </anchor>
          </objectPr>
        </oleObject>
      </mc:Choice>
      <mc:Fallback>
        <oleObject progId="Visio.Drawing.11" shapeId="10241" r:id="rId3"/>
      </mc:Fallback>
    </mc:AlternateContent>
    <mc:AlternateContent xmlns:mc="http://schemas.openxmlformats.org/markup-compatibility/2006">
      <mc:Choice Requires="x14">
        <oleObject progId="Visio.Drawing.11" shapeId="10242" r:id="rId5">
          <objectPr defaultSize="0" r:id="rId6">
            <anchor moveWithCells="1">
              <from>
                <xdr:col>0</xdr:col>
                <xdr:colOff>152400</xdr:colOff>
                <xdr:row>9</xdr:row>
                <xdr:rowOff>104775</xdr:rowOff>
              </from>
              <to>
                <xdr:col>3</xdr:col>
                <xdr:colOff>276225</xdr:colOff>
                <xdr:row>23</xdr:row>
                <xdr:rowOff>152400</xdr:rowOff>
              </to>
            </anchor>
          </objectPr>
        </oleObject>
      </mc:Choice>
      <mc:Fallback>
        <oleObject progId="Visio.Drawing.11" shapeId="10242" r:id="rId5"/>
      </mc:Fallback>
    </mc:AlternateContent>
    <mc:AlternateContent xmlns:mc="http://schemas.openxmlformats.org/markup-compatibility/2006">
      <mc:Choice Requires="x14">
        <oleObject progId="Visio.Drawing.11" shapeId="10243" r:id="rId7">
          <objectPr defaultSize="0" r:id="rId8">
            <anchor moveWithCells="1">
              <from>
                <xdr:col>8</xdr:col>
                <xdr:colOff>180975</xdr:colOff>
                <xdr:row>6</xdr:row>
                <xdr:rowOff>57150</xdr:rowOff>
              </from>
              <to>
                <xdr:col>9</xdr:col>
                <xdr:colOff>514350</xdr:colOff>
                <xdr:row>46</xdr:row>
                <xdr:rowOff>123825</xdr:rowOff>
              </to>
            </anchor>
          </objectPr>
        </oleObject>
      </mc:Choice>
      <mc:Fallback>
        <oleObject progId="Visio.Drawing.11" shapeId="10243" r:id="rId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"/>
  <sheetViews>
    <sheetView workbookViewId="0">
      <selection activeCell="G29" sqref="G29"/>
    </sheetView>
  </sheetViews>
  <sheetFormatPr defaultRowHeight="15" x14ac:dyDescent="0.25"/>
  <cols>
    <col min="1" max="1" width="13.42578125" customWidth="1"/>
    <col min="4" max="4" width="11" bestFit="1" customWidth="1"/>
    <col min="11" max="11" width="16.28515625" customWidth="1"/>
    <col min="12" max="12" width="13.42578125" customWidth="1"/>
  </cols>
  <sheetData>
    <row r="1" spans="1:12" x14ac:dyDescent="0.25">
      <c r="A1" s="24" t="s">
        <v>10</v>
      </c>
      <c r="B1" s="24" t="s">
        <v>11</v>
      </c>
      <c r="C1" s="24" t="s">
        <v>12</v>
      </c>
      <c r="D1" s="24" t="s">
        <v>13</v>
      </c>
      <c r="E1" s="24" t="s">
        <v>14</v>
      </c>
      <c r="F1" s="5"/>
      <c r="G1" s="5"/>
      <c r="H1" s="5"/>
      <c r="I1" s="5"/>
      <c r="J1" s="5"/>
      <c r="K1" s="5"/>
      <c r="L1" s="5"/>
    </row>
    <row r="2" spans="1:12" x14ac:dyDescent="0.25">
      <c r="A2" s="5">
        <v>1</v>
      </c>
      <c r="B2" s="5" t="s">
        <v>15</v>
      </c>
      <c r="C2" s="5" t="s">
        <v>15</v>
      </c>
      <c r="D2" s="5">
        <v>6405070490</v>
      </c>
      <c r="E2" s="5" t="s">
        <v>15</v>
      </c>
      <c r="F2" s="5"/>
      <c r="G2" s="5"/>
      <c r="H2" s="5"/>
      <c r="I2" s="5"/>
      <c r="J2" s="5"/>
      <c r="K2" s="5"/>
      <c r="L2" s="5"/>
    </row>
    <row r="3" spans="1:12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25">
      <c r="A5" s="5" t="s">
        <v>16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 s="5" t="s">
        <v>17</v>
      </c>
      <c r="B6" s="5" t="s">
        <v>18</v>
      </c>
      <c r="C6" s="5" t="s">
        <v>19</v>
      </c>
      <c r="D6" s="5" t="s">
        <v>20</v>
      </c>
      <c r="E6" s="5" t="s">
        <v>21</v>
      </c>
      <c r="F6" s="5" t="s">
        <v>22</v>
      </c>
      <c r="G6" s="5" t="s">
        <v>23</v>
      </c>
      <c r="H6" s="5" t="s">
        <v>24</v>
      </c>
      <c r="I6" s="5" t="s">
        <v>25</v>
      </c>
      <c r="J6" s="5" t="s">
        <v>26</v>
      </c>
      <c r="K6" s="5" t="s">
        <v>27</v>
      </c>
    </row>
    <row r="7" spans="1:12" x14ac:dyDescent="0.25">
      <c r="A7" s="5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 t="s">
        <v>28</v>
      </c>
      <c r="L7" s="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Clear">
          <controlPr defaultSize="0" autoLine="0" r:id="rId4">
            <anchor moveWithCells="1">
              <from>
                <xdr:col>10</xdr:col>
                <xdr:colOff>514350</xdr:colOff>
                <xdr:row>2</xdr:row>
                <xdr:rowOff>57150</xdr:rowOff>
              </from>
              <to>
                <xdr:col>11</xdr:col>
                <xdr:colOff>781050</xdr:colOff>
                <xdr:row>4</xdr:row>
                <xdr:rowOff>19050</xdr:rowOff>
              </to>
            </anchor>
          </controlPr>
        </control>
      </mc:Choice>
      <mc:Fallback>
        <control shapeId="4098" r:id="rId3" name="btnClear"/>
      </mc:Fallback>
    </mc:AlternateContent>
    <mc:AlternateContent xmlns:mc="http://schemas.openxmlformats.org/markup-compatibility/2006">
      <mc:Choice Requires="x14">
        <control shapeId="4097" r:id="rId5" name="btnRun">
          <controlPr defaultSize="0" autoLine="0" r:id="rId6">
            <anchor moveWithCells="1">
              <from>
                <xdr:col>8</xdr:col>
                <xdr:colOff>57150</xdr:colOff>
                <xdr:row>2</xdr:row>
                <xdr:rowOff>47625</xdr:rowOff>
              </from>
              <to>
                <xdr:col>10</xdr:col>
                <xdr:colOff>190500</xdr:colOff>
                <xdr:row>4</xdr:row>
                <xdr:rowOff>9525</xdr:rowOff>
              </to>
            </anchor>
          </controlPr>
        </control>
      </mc:Choice>
      <mc:Fallback>
        <control shapeId="4097" r:id="rId5" name="btn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5"/>
  <sheetViews>
    <sheetView tabSelected="1" workbookViewId="0">
      <selection activeCell="H15" sqref="H15"/>
    </sheetView>
  </sheetViews>
  <sheetFormatPr defaultRowHeight="15" x14ac:dyDescent="0.25"/>
  <cols>
    <col min="5" max="5" width="10.7109375" customWidth="1"/>
    <col min="6" max="6" width="11.85546875" customWidth="1"/>
    <col min="7" max="7" width="19.7109375" customWidth="1"/>
    <col min="8" max="8" width="18.7109375" customWidth="1"/>
    <col min="9" max="9" width="16.140625" customWidth="1"/>
    <col min="10" max="10" width="13.42578125" customWidth="1"/>
    <col min="15" max="15" width="13.5703125" customWidth="1"/>
  </cols>
  <sheetData>
    <row r="1" spans="1:15" x14ac:dyDescent="0.25">
      <c r="A1" s="24" t="s">
        <v>10</v>
      </c>
      <c r="B1" s="24" t="s">
        <v>11</v>
      </c>
      <c r="C1" s="24" t="s">
        <v>12</v>
      </c>
      <c r="D1" s="24" t="s">
        <v>14</v>
      </c>
      <c r="E1" s="24" t="s">
        <v>29</v>
      </c>
      <c r="F1" s="24" t="s">
        <v>30</v>
      </c>
      <c r="G1" s="24" t="s">
        <v>31</v>
      </c>
      <c r="H1" s="24" t="s">
        <v>32</v>
      </c>
      <c r="I1" s="24" t="s">
        <v>33</v>
      </c>
      <c r="J1" s="24" t="s">
        <v>34</v>
      </c>
      <c r="K1" s="24" t="s">
        <v>35</v>
      </c>
      <c r="L1" s="24" t="s">
        <v>36</v>
      </c>
      <c r="M1" s="24" t="s">
        <v>37</v>
      </c>
      <c r="N1" s="24" t="s">
        <v>38</v>
      </c>
      <c r="O1" s="24" t="s">
        <v>27</v>
      </c>
    </row>
    <row r="2" spans="1:15" x14ac:dyDescent="0.25">
      <c r="A2" s="5">
        <v>1</v>
      </c>
      <c r="B2" s="5" t="s">
        <v>15</v>
      </c>
      <c r="C2" s="5" t="s">
        <v>15</v>
      </c>
      <c r="D2" s="5" t="s">
        <v>15</v>
      </c>
      <c r="E2" s="5">
        <v>5555555555</v>
      </c>
      <c r="F2" s="5">
        <v>5555555555</v>
      </c>
      <c r="G2" s="5" t="s">
        <v>15</v>
      </c>
      <c r="H2" s="5" t="s">
        <v>15</v>
      </c>
      <c r="I2" s="5"/>
      <c r="J2" s="5" t="s">
        <v>39</v>
      </c>
      <c r="K2" s="5" t="s">
        <v>40</v>
      </c>
      <c r="L2" s="5" t="s">
        <v>41</v>
      </c>
      <c r="M2" s="5" t="s">
        <v>41</v>
      </c>
      <c r="N2" s="5" t="s">
        <v>41</v>
      </c>
      <c r="O2" s="5" t="s">
        <v>42</v>
      </c>
    </row>
    <row r="3" spans="1:15" x14ac:dyDescent="0.25">
      <c r="A3" s="5">
        <v>2</v>
      </c>
      <c r="B3" s="5" t="s">
        <v>15</v>
      </c>
      <c r="C3" s="5" t="s">
        <v>15</v>
      </c>
      <c r="D3" s="5" t="s">
        <v>15</v>
      </c>
      <c r="E3" s="5">
        <v>5555555555</v>
      </c>
      <c r="F3" s="5">
        <v>5555555555</v>
      </c>
      <c r="G3" s="5" t="s">
        <v>15</v>
      </c>
      <c r="H3" s="5">
        <v>5555555555</v>
      </c>
      <c r="I3" s="5" t="s">
        <v>15</v>
      </c>
      <c r="J3" s="5" t="s">
        <v>39</v>
      </c>
      <c r="K3" s="5" t="s">
        <v>41</v>
      </c>
      <c r="L3" s="5" t="s">
        <v>40</v>
      </c>
      <c r="M3" s="5" t="s">
        <v>41</v>
      </c>
      <c r="N3" s="5" t="s">
        <v>41</v>
      </c>
      <c r="O3" s="5" t="s">
        <v>42</v>
      </c>
    </row>
    <row r="4" spans="1:15" x14ac:dyDescent="0.25">
      <c r="A4" s="5">
        <v>3</v>
      </c>
      <c r="B4" s="5" t="s">
        <v>15</v>
      </c>
      <c r="C4" s="5" t="s">
        <v>15</v>
      </c>
      <c r="D4" s="5" t="s">
        <v>15</v>
      </c>
      <c r="E4" s="5">
        <v>5555555555</v>
      </c>
      <c r="F4" s="5">
        <v>5555555555</v>
      </c>
      <c r="G4" s="5" t="s">
        <v>15</v>
      </c>
      <c r="H4" s="5">
        <v>5555555555</v>
      </c>
      <c r="I4" s="5" t="s">
        <v>15</v>
      </c>
      <c r="J4" s="5" t="s">
        <v>43</v>
      </c>
      <c r="K4" s="5" t="s">
        <v>41</v>
      </c>
      <c r="L4" s="5" t="s">
        <v>41</v>
      </c>
      <c r="M4" s="5" t="s">
        <v>40</v>
      </c>
      <c r="N4" s="5" t="s">
        <v>41</v>
      </c>
      <c r="O4" s="5" t="s">
        <v>42</v>
      </c>
    </row>
    <row r="5" spans="1:15" x14ac:dyDescent="0.25">
      <c r="A5" s="5">
        <v>4</v>
      </c>
      <c r="B5" s="5" t="s">
        <v>15</v>
      </c>
      <c r="C5" s="5" t="s">
        <v>15</v>
      </c>
      <c r="D5" s="5" t="s">
        <v>15</v>
      </c>
      <c r="E5" s="5">
        <v>5555555555</v>
      </c>
      <c r="F5" s="5">
        <v>5555555555</v>
      </c>
      <c r="G5" s="5" t="s">
        <v>15</v>
      </c>
      <c r="H5" s="5">
        <v>5555555555</v>
      </c>
      <c r="I5" s="5" t="s">
        <v>15</v>
      </c>
      <c r="J5" s="5" t="s">
        <v>44</v>
      </c>
      <c r="K5" s="5" t="s">
        <v>41</v>
      </c>
      <c r="L5" s="5" t="s">
        <v>41</v>
      </c>
      <c r="M5" s="5" t="s">
        <v>41</v>
      </c>
      <c r="N5" s="5" t="s">
        <v>40</v>
      </c>
      <c r="O5" s="5" t="s">
        <v>42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lear">
          <controlPr defaultSize="0" autoLine="0" r:id="rId4">
            <anchor moveWithCells="1">
              <from>
                <xdr:col>3</xdr:col>
                <xdr:colOff>419100</xdr:colOff>
                <xdr:row>9</xdr:row>
                <xdr:rowOff>95250</xdr:rowOff>
              </from>
              <to>
                <xdr:col>5</xdr:col>
                <xdr:colOff>447675</xdr:colOff>
                <xdr:row>11</xdr:row>
                <xdr:rowOff>57150</xdr:rowOff>
              </to>
            </anchor>
          </controlPr>
        </control>
      </mc:Choice>
      <mc:Fallback>
        <control shapeId="5122" r:id="rId3" name="btnClear"/>
      </mc:Fallback>
    </mc:AlternateContent>
    <mc:AlternateContent xmlns:mc="http://schemas.openxmlformats.org/markup-compatibility/2006">
      <mc:Choice Requires="x14">
        <control shapeId="5121" r:id="rId5" name="btnRun">
          <controlPr defaultSize="0" autoLine="0" r:id="rId6">
            <anchor moveWithCells="1">
              <from>
                <xdr:col>0</xdr:col>
                <xdr:colOff>571500</xdr:colOff>
                <xdr:row>9</xdr:row>
                <xdr:rowOff>85725</xdr:rowOff>
              </from>
              <to>
                <xdr:col>3</xdr:col>
                <xdr:colOff>95250</xdr:colOff>
                <xdr:row>11</xdr:row>
                <xdr:rowOff>47625</xdr:rowOff>
              </to>
            </anchor>
          </controlPr>
        </control>
      </mc:Choice>
      <mc:Fallback>
        <control shapeId="5121" r:id="rId5" name="btnRu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7"/>
  <sheetViews>
    <sheetView workbookViewId="0">
      <selection activeCell="I35" sqref="I35"/>
    </sheetView>
  </sheetViews>
  <sheetFormatPr defaultRowHeight="15" x14ac:dyDescent="0.25"/>
  <cols>
    <col min="7" max="7" width="11.85546875" customWidth="1"/>
    <col min="8" max="8" width="15" customWidth="1"/>
    <col min="9" max="9" width="14" customWidth="1"/>
    <col min="10" max="10" width="12" customWidth="1"/>
    <col min="11" max="11" width="12.7109375" customWidth="1"/>
  </cols>
  <sheetData>
    <row r="1" spans="1:15" x14ac:dyDescent="0.25">
      <c r="A1" s="24" t="s">
        <v>10</v>
      </c>
      <c r="B1" s="24" t="s">
        <v>11</v>
      </c>
      <c r="C1" s="24" t="s">
        <v>45</v>
      </c>
      <c r="D1" s="24" t="s">
        <v>46</v>
      </c>
      <c r="E1" s="24" t="s">
        <v>47</v>
      </c>
      <c r="F1" s="24" t="s">
        <v>48</v>
      </c>
      <c r="G1" s="24" t="s">
        <v>49</v>
      </c>
      <c r="H1" s="24" t="s">
        <v>50</v>
      </c>
      <c r="I1" s="24" t="s">
        <v>51</v>
      </c>
      <c r="J1" s="24" t="s">
        <v>52</v>
      </c>
      <c r="K1" s="24" t="s">
        <v>53</v>
      </c>
      <c r="L1" s="24" t="s">
        <v>54</v>
      </c>
      <c r="M1" s="24" t="s">
        <v>55</v>
      </c>
      <c r="N1" s="24" t="s">
        <v>56</v>
      </c>
      <c r="O1" s="24" t="s">
        <v>57</v>
      </c>
    </row>
    <row r="2" spans="1:15" x14ac:dyDescent="0.25">
      <c r="A2" s="5">
        <v>1</v>
      </c>
      <c r="B2" s="5" t="s">
        <v>15</v>
      </c>
      <c r="C2" s="5" t="s">
        <v>15</v>
      </c>
      <c r="D2" s="5" t="s">
        <v>15</v>
      </c>
      <c r="E2" s="5" t="s">
        <v>15</v>
      </c>
      <c r="F2" s="5" t="s">
        <v>15</v>
      </c>
      <c r="G2" s="5" t="s">
        <v>15</v>
      </c>
      <c r="H2" s="5" t="s">
        <v>15</v>
      </c>
      <c r="I2" s="5" t="s">
        <v>15</v>
      </c>
      <c r="J2" s="5" t="s">
        <v>15</v>
      </c>
      <c r="K2" s="5" t="s">
        <v>15</v>
      </c>
      <c r="L2" s="5" t="s">
        <v>15</v>
      </c>
      <c r="M2" s="5" t="s">
        <v>15</v>
      </c>
      <c r="N2" s="5" t="s">
        <v>15</v>
      </c>
      <c r="O2" s="5" t="s">
        <v>15</v>
      </c>
    </row>
    <row r="6" spans="1:15" x14ac:dyDescent="0.25">
      <c r="A6" s="5" t="s">
        <v>58</v>
      </c>
      <c r="B6" s="5" t="s">
        <v>59</v>
      </c>
      <c r="C6" s="5" t="s">
        <v>60</v>
      </c>
      <c r="D6" s="5" t="s">
        <v>61</v>
      </c>
      <c r="E6" s="5" t="s">
        <v>62</v>
      </c>
      <c r="F6" s="5" t="s">
        <v>63</v>
      </c>
      <c r="G6" s="5" t="s">
        <v>64</v>
      </c>
      <c r="H6" s="5" t="s">
        <v>27</v>
      </c>
    </row>
    <row r="7" spans="1:15" x14ac:dyDescent="0.25">
      <c r="A7" s="5">
        <v>1</v>
      </c>
      <c r="B7" s="5">
        <v>1</v>
      </c>
      <c r="C7" s="5">
        <v>1</v>
      </c>
      <c r="D7" s="5">
        <v>1</v>
      </c>
      <c r="E7" s="5">
        <v>1</v>
      </c>
      <c r="F7" s="5">
        <v>1</v>
      </c>
      <c r="G7" s="5">
        <v>1</v>
      </c>
      <c r="H7" s="5" t="s">
        <v>28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btnClear">
          <controlPr defaultSize="0" autoLine="0" r:id="rId4">
            <anchor moveWithCells="1">
              <from>
                <xdr:col>9</xdr:col>
                <xdr:colOff>428625</xdr:colOff>
                <xdr:row>7</xdr:row>
                <xdr:rowOff>66675</xdr:rowOff>
              </from>
              <to>
                <xdr:col>11</xdr:col>
                <xdr:colOff>133350</xdr:colOff>
                <xdr:row>9</xdr:row>
                <xdr:rowOff>28575</xdr:rowOff>
              </to>
            </anchor>
          </controlPr>
        </control>
      </mc:Choice>
      <mc:Fallback>
        <control shapeId="6146" r:id="rId3" name="btnClear"/>
      </mc:Fallback>
    </mc:AlternateContent>
    <mc:AlternateContent xmlns:mc="http://schemas.openxmlformats.org/markup-compatibility/2006">
      <mc:Choice Requires="x14">
        <control shapeId="6145" r:id="rId5" name="btnRun">
          <controlPr defaultSize="0" autoLine="0" r:id="rId6">
            <anchor moveWithCells="1">
              <from>
                <xdr:col>9</xdr:col>
                <xdr:colOff>428625</xdr:colOff>
                <xdr:row>3</xdr:row>
                <xdr:rowOff>114300</xdr:rowOff>
              </from>
              <to>
                <xdr:col>11</xdr:col>
                <xdr:colOff>133350</xdr:colOff>
                <xdr:row>5</xdr:row>
                <xdr:rowOff>76200</xdr:rowOff>
              </to>
            </anchor>
          </controlPr>
        </control>
      </mc:Choice>
      <mc:Fallback>
        <control shapeId="6145" r:id="rId5" name="btn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"/>
  <sheetViews>
    <sheetView workbookViewId="0">
      <selection sqref="A1:G4"/>
    </sheetView>
  </sheetViews>
  <sheetFormatPr defaultRowHeight="15" x14ac:dyDescent="0.25"/>
  <cols>
    <col min="1" max="1" width="13.140625" customWidth="1"/>
    <col min="5" max="5" width="19.5703125" customWidth="1"/>
    <col min="6" max="6" width="15.85546875" customWidth="1"/>
    <col min="7" max="7" width="19.5703125" customWidth="1"/>
  </cols>
  <sheetData>
    <row r="1" spans="1:8" x14ac:dyDescent="0.25">
      <c r="A1" s="1" t="s">
        <v>0</v>
      </c>
      <c r="B1" s="2" t="s">
        <v>1</v>
      </c>
      <c r="C1" s="3" t="s">
        <v>2</v>
      </c>
      <c r="D1" s="4" t="s">
        <v>3</v>
      </c>
      <c r="E1" s="3" t="s">
        <v>4</v>
      </c>
      <c r="F1" s="3" t="s">
        <v>5</v>
      </c>
      <c r="G1" s="4" t="s">
        <v>6</v>
      </c>
      <c r="H1" s="5"/>
    </row>
    <row r="2" spans="1:8" x14ac:dyDescent="0.25">
      <c r="A2" s="6" t="s">
        <v>7</v>
      </c>
      <c r="B2" s="7">
        <v>1</v>
      </c>
      <c r="C2" s="8">
        <v>10</v>
      </c>
      <c r="D2" s="9">
        <v>10</v>
      </c>
      <c r="E2" s="10">
        <f>C2/D2</f>
        <v>1</v>
      </c>
      <c r="F2" s="10">
        <f>B2/D2</f>
        <v>0.1</v>
      </c>
      <c r="G2" s="11">
        <f>B2/C2</f>
        <v>0.1</v>
      </c>
      <c r="H2" s="5"/>
    </row>
    <row r="3" spans="1:8" x14ac:dyDescent="0.25">
      <c r="A3" s="12" t="s">
        <v>8</v>
      </c>
      <c r="B3" s="13">
        <v>4</v>
      </c>
      <c r="C3" s="14">
        <v>4</v>
      </c>
      <c r="D3" s="15">
        <v>4</v>
      </c>
      <c r="E3" s="16">
        <f t="shared" ref="E3:E4" si="0">C3/D3</f>
        <v>1</v>
      </c>
      <c r="F3" s="16">
        <f t="shared" ref="F3:F4" si="1">B3/D3</f>
        <v>1</v>
      </c>
      <c r="G3" s="17">
        <f t="shared" ref="G3:G4" si="2">B3/C3</f>
        <v>1</v>
      </c>
      <c r="H3" s="5"/>
    </row>
    <row r="4" spans="1:8" x14ac:dyDescent="0.25">
      <c r="A4" s="18" t="s">
        <v>9</v>
      </c>
      <c r="B4" s="19">
        <v>1</v>
      </c>
      <c r="C4" s="20">
        <v>7</v>
      </c>
      <c r="D4" s="21">
        <v>7</v>
      </c>
      <c r="E4" s="22">
        <f t="shared" si="0"/>
        <v>1</v>
      </c>
      <c r="F4" s="22">
        <f t="shared" si="1"/>
        <v>0.14285714285714285</v>
      </c>
      <c r="G4" s="23">
        <f t="shared" si="2"/>
        <v>0.14285714285714285</v>
      </c>
      <c r="H4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btnNCSubmit</vt:lpstr>
      <vt:lpstr>btnNESubmit</vt:lpstr>
      <vt:lpstr>btnNJSubmit</vt:lpstr>
      <vt:lpstr>Complexities</vt:lpstr>
      <vt:lpstr>Statement btnNCSubmit</vt:lpstr>
      <vt:lpstr>Branch btnNESubmit</vt:lpstr>
      <vt:lpstr>DD btnNJSubmit</vt:lpstr>
      <vt:lpstr>Metrics for Buttons</vt:lpstr>
    </vt:vector>
  </TitlesOfParts>
  <Company>Butler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infores</dc:creator>
  <cp:lastModifiedBy>infores</cp:lastModifiedBy>
  <dcterms:created xsi:type="dcterms:W3CDTF">2013-04-25T13:54:32Z</dcterms:created>
  <dcterms:modified xsi:type="dcterms:W3CDTF">2013-04-29T09:45:12Z</dcterms:modified>
</cp:coreProperties>
</file>